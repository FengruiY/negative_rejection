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oogle Drive\Documents\PhD\0、Matlab Codes\02 DSPM-DE - Module Scale ✨\2 按膜组件尺寸积分 ✨\2、Li Mg Na Cl 稀释倍数计算\"/>
    </mc:Choice>
  </mc:AlternateContent>
  <xr:revisionPtr revIDLastSave="0" documentId="13_ncr:1_{F742961B-BAE8-4278-9009-FA77BBDD6013}" xr6:coauthVersionLast="47" xr6:coauthVersionMax="47" xr10:uidLastSave="{00000000-0000-0000-0000-000000000000}"/>
  <bookViews>
    <workbookView xWindow="-120" yWindow="-120" windowWidth="29040" windowHeight="15990" xr2:uid="{2263F689-6161-4106-8B9D-6376D16355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" i="1" l="1"/>
  <c r="E18" i="1"/>
  <c r="E17" i="1"/>
  <c r="E16" i="1"/>
  <c r="E15" i="1"/>
  <c r="E14" i="1"/>
  <c r="E13" i="1"/>
  <c r="E12" i="1"/>
  <c r="E11" i="1"/>
  <c r="E10" i="1"/>
  <c r="D9" i="1"/>
  <c r="D8" i="1"/>
  <c r="D7" i="1"/>
  <c r="D6" i="1"/>
  <c r="D5" i="1"/>
  <c r="D4" i="1"/>
  <c r="D3" i="1"/>
  <c r="D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Fengrui Yang</author>
  </authors>
  <commentList>
    <comment ref="A2" authorId="0" shapeId="0" xr:uid="{3CD87669-EDEA-4EEA-916C-F802B599C535}">
      <text>
        <r>
          <rPr>
            <b/>
            <sz val="9"/>
            <color indexed="81"/>
            <rFont val="Tahoma"/>
            <family val="2"/>
          </rPr>
          <t>Fengrui Yang:</t>
        </r>
        <r>
          <rPr>
            <sz val="9"/>
            <color indexed="81"/>
            <rFont val="Tahoma"/>
            <family val="2"/>
          </rPr>
          <t xml:space="preserve">
Target</t>
        </r>
      </text>
    </comment>
    <comment ref="A10" authorId="0" shapeId="0" xr:uid="{1D4E58C5-F633-413E-9D75-D434AAC49AB0}">
      <text>
        <r>
          <rPr>
            <b/>
            <sz val="9"/>
            <color indexed="81"/>
            <rFont val="Tahoma"/>
            <family val="2"/>
          </rPr>
          <t>Fengrui Yang:</t>
        </r>
        <r>
          <rPr>
            <sz val="9"/>
            <color indexed="81"/>
            <rFont val="Tahoma"/>
            <family val="2"/>
          </rPr>
          <t xml:space="preserve">
Control</t>
        </r>
      </text>
    </comment>
  </commentList>
</comments>
</file>

<file path=xl/sharedStrings.xml><?xml version="1.0" encoding="utf-8"?>
<sst xmlns="http://schemas.openxmlformats.org/spreadsheetml/2006/main" count="9" uniqueCount="9">
  <si>
    <t>cx</t>
  </si>
  <si>
    <t>WR</t>
  </si>
  <si>
    <t>RMg</t>
  </si>
  <si>
    <t>RLi</t>
  </si>
  <si>
    <t>LiR</t>
  </si>
  <si>
    <t>rhoMg</t>
  </si>
  <si>
    <t>rhoLi</t>
  </si>
  <si>
    <t>rp0</t>
  </si>
  <si>
    <t>A0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</si>
</sst>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8" tint="-0.499984740745262"/>
      <name val="Aptos Narrow"/>
      <family val="2"/>
      <scheme val="minor"/>
    </font>
    <font>
      <b/>
      <sz val="11"/>
      <color theme="8" tint="-0.499984740745262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9E45D-FFBD-4B66-B569-84ECDEB6B546}">
  <dimension ref="A1:I19"/>
  <sheetViews>
    <sheetView tabSelected="1" workbookViewId="0">
      <selection activeCell="A20" sqref="A20"/>
    </sheetView>
  </sheetViews>
  <sheetFormatPr defaultRowHeight="15" x14ac:dyDescent="0.25"/>
  <cols>
    <col min="8" max="8" width="11" bestFit="1" customWidth="1"/>
    <col min="9" max="9" width="9.285156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s="2">
        <v>5</v>
      </c>
      <c r="B2" s="2">
        <v>0.5</v>
      </c>
      <c r="C2" s="2">
        <v>0.99</v>
      </c>
      <c r="D2" s="2">
        <f t="shared" ref="D2:D9" si="0">1-E2/B2</f>
        <v>-0.10000000000000009</v>
      </c>
      <c r="E2" s="2">
        <v>0.55000000000000004</v>
      </c>
      <c r="F2" s="2">
        <v>0.01</v>
      </c>
      <c r="G2" s="2">
        <v>0.01</v>
      </c>
      <c r="H2" s="2">
        <v>4.3305000000000002E-10</v>
      </c>
      <c r="I2" s="2">
        <v>3.1606000000000001</v>
      </c>
    </row>
    <row r="3" spans="1:9" x14ac:dyDescent="0.25">
      <c r="A3" s="2">
        <v>5</v>
      </c>
      <c r="B3" s="2">
        <v>0.5</v>
      </c>
      <c r="C3" s="2">
        <v>0.99</v>
      </c>
      <c r="D3" s="2">
        <f t="shared" si="0"/>
        <v>-0.19999999999999996</v>
      </c>
      <c r="E3" s="2">
        <v>0.6</v>
      </c>
      <c r="F3" s="2">
        <v>0.01</v>
      </c>
      <c r="G3" s="2">
        <v>0.01</v>
      </c>
      <c r="H3" s="2">
        <v>4.2024000000000004E-10</v>
      </c>
      <c r="I3" s="2">
        <v>4.8051000000000004</v>
      </c>
    </row>
    <row r="4" spans="1:9" x14ac:dyDescent="0.25">
      <c r="A4" s="2">
        <v>5</v>
      </c>
      <c r="B4" s="2">
        <v>0.5</v>
      </c>
      <c r="C4" s="2">
        <v>0.99</v>
      </c>
      <c r="D4" s="2">
        <f t="shared" si="0"/>
        <v>-0.30000000000000004</v>
      </c>
      <c r="E4" s="2">
        <v>0.65</v>
      </c>
      <c r="F4" s="2">
        <v>0.01</v>
      </c>
      <c r="G4" s="2">
        <v>0.01</v>
      </c>
      <c r="H4" s="2">
        <v>4.0863000000000001E-10</v>
      </c>
      <c r="I4" s="2">
        <v>8.3490000000000002</v>
      </c>
    </row>
    <row r="5" spans="1:9" x14ac:dyDescent="0.25">
      <c r="A5" s="2">
        <v>5</v>
      </c>
      <c r="B5" s="2">
        <v>0.5</v>
      </c>
      <c r="C5" s="2">
        <v>0.99</v>
      </c>
      <c r="D5" s="2">
        <f t="shared" si="0"/>
        <v>-0.39999999999999991</v>
      </c>
      <c r="E5" s="2">
        <v>0.7</v>
      </c>
      <c r="F5" s="2">
        <v>0.01</v>
      </c>
      <c r="G5" s="2">
        <v>0.01</v>
      </c>
      <c r="H5" s="2">
        <v>3.959E-10</v>
      </c>
      <c r="I5" s="2">
        <v>21.004000000000001</v>
      </c>
    </row>
    <row r="6" spans="1:9" x14ac:dyDescent="0.25">
      <c r="A6" s="1">
        <v>-5</v>
      </c>
      <c r="B6" s="1">
        <v>0.5</v>
      </c>
      <c r="C6" s="1">
        <v>0.99</v>
      </c>
      <c r="D6" s="1">
        <f t="shared" si="0"/>
        <v>-0.10000000000000009</v>
      </c>
      <c r="E6" s="1">
        <v>0.55000000000000004</v>
      </c>
      <c r="F6" s="1">
        <v>0.01</v>
      </c>
      <c r="G6" s="1">
        <v>0.01</v>
      </c>
      <c r="H6" s="1">
        <v>4.3004E-10</v>
      </c>
      <c r="I6" s="1">
        <v>3.0528</v>
      </c>
    </row>
    <row r="7" spans="1:9" x14ac:dyDescent="0.25">
      <c r="A7" s="1">
        <v>-5</v>
      </c>
      <c r="B7" s="1">
        <v>0.5</v>
      </c>
      <c r="C7" s="1">
        <v>0.99</v>
      </c>
      <c r="D7" s="1">
        <f t="shared" si="0"/>
        <v>-0.19999999999999996</v>
      </c>
      <c r="E7" s="1">
        <v>0.6</v>
      </c>
      <c r="F7" s="1">
        <v>0.01</v>
      </c>
      <c r="G7" s="1">
        <v>0.01</v>
      </c>
      <c r="H7" s="1">
        <v>4.1779000000000001E-10</v>
      </c>
      <c r="I7" s="1">
        <v>4.6349999999999998</v>
      </c>
    </row>
    <row r="8" spans="1:9" x14ac:dyDescent="0.25">
      <c r="A8" s="1">
        <v>-5</v>
      </c>
      <c r="B8" s="1">
        <v>0.5</v>
      </c>
      <c r="C8" s="1">
        <v>0.99</v>
      </c>
      <c r="D8" s="1">
        <f t="shared" si="0"/>
        <v>-0.30000000000000004</v>
      </c>
      <c r="E8" s="1">
        <v>0.65</v>
      </c>
      <c r="F8" s="1">
        <v>0.01</v>
      </c>
      <c r="G8" s="1">
        <v>0.01</v>
      </c>
      <c r="H8" s="1">
        <v>4.0679E-10</v>
      </c>
      <c r="I8" s="1">
        <v>7.9696999999999996</v>
      </c>
    </row>
    <row r="9" spans="1:9" x14ac:dyDescent="0.25">
      <c r="A9" s="1">
        <v>-5</v>
      </c>
      <c r="B9" s="1">
        <v>0.5</v>
      </c>
      <c r="C9" s="1">
        <v>0.99</v>
      </c>
      <c r="D9" s="1">
        <f t="shared" si="0"/>
        <v>-0.39999999999999991</v>
      </c>
      <c r="E9" s="1">
        <v>0.7</v>
      </c>
      <c r="F9" s="1">
        <v>0.01</v>
      </c>
      <c r="G9" s="1">
        <v>0.01</v>
      </c>
      <c r="H9" s="1">
        <v>3.9466000000000001E-10</v>
      </c>
      <c r="I9" s="1">
        <v>19.669</v>
      </c>
    </row>
    <row r="10" spans="1:9" x14ac:dyDescent="0.25">
      <c r="A10" s="3">
        <v>5</v>
      </c>
      <c r="B10" s="3">
        <v>0.5</v>
      </c>
      <c r="C10" s="3">
        <v>0.99</v>
      </c>
      <c r="D10" s="3">
        <v>0</v>
      </c>
      <c r="E10" s="3">
        <f>B10*(1-D10)</f>
        <v>0.5</v>
      </c>
      <c r="F10" s="3">
        <v>0.01</v>
      </c>
      <c r="G10" s="3">
        <v>0.01</v>
      </c>
      <c r="H10" s="3">
        <v>4.4900000000000005E-10</v>
      </c>
      <c r="I10" s="3">
        <v>2.2075999999999998</v>
      </c>
    </row>
    <row r="11" spans="1:9" x14ac:dyDescent="0.25">
      <c r="A11" s="3">
        <v>5</v>
      </c>
      <c r="B11" s="3">
        <v>0.55000000000000004</v>
      </c>
      <c r="C11" s="3">
        <v>0.99</v>
      </c>
      <c r="D11" s="3">
        <v>0</v>
      </c>
      <c r="E11" s="3">
        <f>B11*(1-D11)</f>
        <v>0.55000000000000004</v>
      </c>
      <c r="F11" s="3">
        <v>0.01</v>
      </c>
      <c r="G11" s="3">
        <v>0.01</v>
      </c>
      <c r="H11" s="3">
        <v>4.4693000000000003E-10</v>
      </c>
      <c r="I11" s="3">
        <v>2.3555999999999999</v>
      </c>
    </row>
    <row r="12" spans="1:9" x14ac:dyDescent="0.25">
      <c r="A12" s="3">
        <v>5</v>
      </c>
      <c r="B12" s="3">
        <v>0.6</v>
      </c>
      <c r="C12" s="3">
        <v>0.99</v>
      </c>
      <c r="D12" s="3">
        <v>0</v>
      </c>
      <c r="E12" s="3">
        <f t="shared" ref="E12:E14" si="1">B12*(1-D12)</f>
        <v>0.6</v>
      </c>
      <c r="F12" s="3">
        <v>0.01</v>
      </c>
      <c r="G12" s="3">
        <v>0.01</v>
      </c>
      <c r="H12" s="3">
        <v>4.4448E-10</v>
      </c>
      <c r="I12" s="3">
        <v>2.4908000000000001</v>
      </c>
    </row>
    <row r="13" spans="1:9" x14ac:dyDescent="0.25">
      <c r="A13" s="3">
        <v>5</v>
      </c>
      <c r="B13" s="3">
        <v>0.65</v>
      </c>
      <c r="C13" s="3">
        <v>0.99</v>
      </c>
      <c r="D13" s="3">
        <v>0</v>
      </c>
      <c r="E13" s="3">
        <f t="shared" si="1"/>
        <v>0.65</v>
      </c>
      <c r="F13" s="3">
        <v>0.01</v>
      </c>
      <c r="G13" s="3">
        <v>0.01</v>
      </c>
      <c r="H13" s="3">
        <v>4.4177000000000002E-10</v>
      </c>
      <c r="I13" s="3">
        <v>2.6009000000000002</v>
      </c>
    </row>
    <row r="14" spans="1:9" x14ac:dyDescent="0.25">
      <c r="A14" s="3">
        <v>5</v>
      </c>
      <c r="B14" s="3">
        <v>0.7</v>
      </c>
      <c r="C14" s="3">
        <v>0.99</v>
      </c>
      <c r="D14" s="3">
        <v>0</v>
      </c>
      <c r="E14" s="3">
        <f t="shared" si="1"/>
        <v>0.7</v>
      </c>
      <c r="F14" s="3">
        <v>0.01</v>
      </c>
      <c r="G14" s="3">
        <v>0.01</v>
      </c>
      <c r="H14" s="3">
        <v>4.3877000000000003E-10</v>
      </c>
      <c r="I14" s="3">
        <v>2.6798999999999999</v>
      </c>
    </row>
    <row r="15" spans="1:9" x14ac:dyDescent="0.25">
      <c r="A15">
        <v>-5</v>
      </c>
      <c r="B15">
        <v>0.5</v>
      </c>
      <c r="C15">
        <v>0.99</v>
      </c>
      <c r="D15">
        <v>0</v>
      </c>
      <c r="E15">
        <f>B15*(1-D15)</f>
        <v>0.5</v>
      </c>
      <c r="F15">
        <v>0.01</v>
      </c>
      <c r="G15">
        <v>0.01</v>
      </c>
      <c r="H15">
        <v>4.4516000000000004E-10</v>
      </c>
      <c r="I15">
        <v>2.1343999999999999</v>
      </c>
    </row>
    <row r="16" spans="1:9" x14ac:dyDescent="0.25">
      <c r="A16">
        <v>-5</v>
      </c>
      <c r="B16">
        <v>0.55000000000000004</v>
      </c>
      <c r="C16">
        <v>0.99</v>
      </c>
      <c r="D16">
        <v>0</v>
      </c>
      <c r="E16">
        <f>B16*(1-D16)</f>
        <v>0.55000000000000004</v>
      </c>
      <c r="F16">
        <v>0.01</v>
      </c>
      <c r="G16">
        <v>0.01</v>
      </c>
      <c r="H16">
        <v>4.4286999999999999E-10</v>
      </c>
      <c r="I16">
        <v>2.2685</v>
      </c>
    </row>
    <row r="17" spans="1:9" x14ac:dyDescent="0.25">
      <c r="A17">
        <v>-5</v>
      </c>
      <c r="B17">
        <v>0.6</v>
      </c>
      <c r="C17">
        <v>0.99</v>
      </c>
      <c r="D17">
        <v>0</v>
      </c>
      <c r="E17">
        <f t="shared" ref="E17:E19" si="2">B17*(1-D17)</f>
        <v>0.6</v>
      </c>
      <c r="F17">
        <v>0.01</v>
      </c>
      <c r="G17">
        <v>0.01</v>
      </c>
      <c r="H17">
        <v>4.4022000000000001E-10</v>
      </c>
      <c r="I17">
        <v>2.3847999999999998</v>
      </c>
    </row>
    <row r="18" spans="1:9" x14ac:dyDescent="0.25">
      <c r="A18">
        <v>-5</v>
      </c>
      <c r="B18">
        <v>0.65</v>
      </c>
      <c r="C18">
        <v>0.99</v>
      </c>
      <c r="D18">
        <v>0</v>
      </c>
      <c r="E18">
        <f t="shared" si="2"/>
        <v>0.65</v>
      </c>
      <c r="F18">
        <v>0.01</v>
      </c>
      <c r="G18">
        <v>0.01</v>
      </c>
      <c r="H18">
        <v>4.3724000000000003E-10</v>
      </c>
      <c r="I18">
        <v>2.476</v>
      </c>
    </row>
    <row r="19" spans="1:9" x14ac:dyDescent="0.25">
      <c r="A19">
        <v>-5</v>
      </c>
      <c r="B19">
        <v>0.7</v>
      </c>
      <c r="C19">
        <v>0.99</v>
      </c>
      <c r="D19">
        <v>0</v>
      </c>
      <c r="E19">
        <f t="shared" si="2"/>
        <v>0.7</v>
      </c>
      <c r="F19">
        <v>0.01</v>
      </c>
      <c r="G19">
        <v>0.01</v>
      </c>
      <c r="H19">
        <v>4.3401000000000003E-10</v>
      </c>
      <c r="I19">
        <v>2.5287999999999999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Fengrui Yang</dc:creator>
  <cp:lastModifiedBy>Fengrui Yang</cp:lastModifiedBy>
  <dcterms:created xsi:type="dcterms:W3CDTF">2025-06-09T01:22:31Z</dcterms:created>
  <dcterms:modified xsi:type="dcterms:W3CDTF">2025-08-25T00:03:41Z</dcterms:modified>
</cp:coreProperties>
</file>